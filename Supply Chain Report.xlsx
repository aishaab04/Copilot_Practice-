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aabougan_its_jnj_com/Documents/Documents/"/>
    </mc:Choice>
  </mc:AlternateContent>
  <xr:revisionPtr revIDLastSave="0" documentId="8_{C66347D4-CB06-4634-8D65-3553D2487505}" xr6:coauthVersionLast="47" xr6:coauthVersionMax="47" xr10:uidLastSave="{00000000-0000-0000-0000-000000000000}"/>
  <bookViews>
    <workbookView xWindow="1905" yWindow="1905" windowWidth="23220" windowHeight="14025" xr2:uid="{B0527E17-EBBE-4563-B323-5182B05A57C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G21" i="1" s="1"/>
  <c r="F16" i="1"/>
  <c r="F21" i="1" s="1"/>
  <c r="E16" i="1"/>
  <c r="E21" i="1" s="1"/>
  <c r="D16" i="1"/>
  <c r="D21" i="1" s="1"/>
  <c r="C16" i="1"/>
  <c r="C21" i="1" s="1"/>
  <c r="B16" i="1"/>
  <c r="B21" i="1" s="1"/>
  <c r="C12" i="1"/>
  <c r="B12" i="1"/>
  <c r="D11" i="1"/>
  <c r="C11" i="1"/>
  <c r="B11" i="1"/>
  <c r="D10" i="1"/>
  <c r="C10" i="1"/>
  <c r="B10" i="1"/>
  <c r="D9" i="1"/>
  <c r="D12" i="1" s="1"/>
  <c r="C9" i="1"/>
  <c r="B9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<sst xmlns="http://schemas.openxmlformats.org/spreadsheetml/2006/main" count="30" uniqueCount="27">
  <si>
    <t>AVERAGE DELIVERY TIMELINE BY RISK LEVEL</t>
  </si>
  <si>
    <t>Risk Level</t>
  </si>
  <si>
    <t>Avg Delivery Timeline (Days)</t>
  </si>
  <si>
    <t>Component Count</t>
  </si>
  <si>
    <t>High</t>
  </si>
  <si>
    <t>Medium</t>
  </si>
  <si>
    <t>Low</t>
  </si>
  <si>
    <t>ON-TIME DELIVERY RATE FOR DELAYED COMPONENTS</t>
  </si>
  <si>
    <t>Component</t>
  </si>
  <si>
    <t>Avg On-Time Delivery Rate (%)</t>
  </si>
  <si>
    <t>Record Count</t>
  </si>
  <si>
    <t>CARB123</t>
  </si>
  <si>
    <t>BIND567</t>
  </si>
  <si>
    <t>COAT890</t>
  </si>
  <si>
    <t>Overall (All 3 Components)</t>
  </si>
  <si>
    <t>SUPPLIER PERFORMANCE BREAKDOWN</t>
  </si>
  <si>
    <t>Supplier Name</t>
  </si>
  <si>
    <t>Avg On-Time Delivery (%)</t>
  </si>
  <si>
    <t>Avg Supplier Reliability (%)</t>
  </si>
  <si>
    <t>Avg Defect Rate (%)</t>
  </si>
  <si>
    <t>Avg Quality Pass Rate (%)</t>
  </si>
  <si>
    <t>EcoSupply</t>
  </si>
  <si>
    <t>GlobalChem</t>
  </si>
  <si>
    <t>NextGen Pharma</t>
  </si>
  <si>
    <t>PrimeLogistics</t>
  </si>
  <si>
    <t>RawMatPlus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</si>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</sst>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2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0" fontId="3" fillId="4" borderId="1" xfId="0" applyFont="1" applyFill="1" applyBorder="1"/>
    <xf numFmtId="0" fontId="0" fillId="4" borderId="3" xfId="0" applyFill="1" applyBorder="1"/>
    <xf numFmtId="164" fontId="0" fillId="4" borderId="3" xfId="0" applyNumberFormat="1" applyFill="1" applyBorder="1"/>
    <xf numFmtId="2" fontId="0" fillId="4" borderId="3" xfId="0" applyNumberFormat="1" applyFill="1" applyBorder="1"/>
    <xf numFmtId="164" fontId="0" fillId="4" borderId="4" xfId="0" applyNumberForma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nj-my.sharepoint.com/personal/aabougan_its_jnj_com/Documents/Documents/Copy%20of%20Expanded_SupplyChainMetrics.xlsx" TargetMode="External"/><Relationship Id="rId1" Type="http://schemas.openxmlformats.org/officeDocument/2006/relationships/externalLinkPath" Target="Copy%20of%20Expanded_SupplyChainMetr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Analysis"/>
    </sheetNames>
    <sheetDataSet>
      <sheetData sheetId="0">
        <row r="1">
          <cell r="A1" t="str">
            <v>Component Number</v>
          </cell>
          <cell r="B1" t="str">
            <v>Supplier Name</v>
          </cell>
          <cell r="C1" t="str">
            <v>Delivery Timeline (Days)</v>
          </cell>
          <cell r="E1" t="str">
            <v>Risk Level</v>
          </cell>
          <cell r="H1" t="str">
            <v>Defect Rate (%)</v>
          </cell>
          <cell r="J1" t="str">
            <v>Supplier Reliability (%)</v>
          </cell>
          <cell r="P1" t="str">
            <v>On-Time Delivery Rate (%)</v>
          </cell>
          <cell r="R1" t="str">
            <v>Quality Inspection Pass Rate (%)</v>
          </cell>
        </row>
        <row r="2">
          <cell r="A2" t="str">
            <v>BIND567</v>
          </cell>
          <cell r="B2" t="str">
            <v>EcoSupply</v>
          </cell>
          <cell r="C2">
            <v>64</v>
          </cell>
          <cell r="E2" t="str">
            <v>Medium</v>
          </cell>
          <cell r="H2">
            <v>2.91</v>
          </cell>
          <cell r="J2">
            <v>99</v>
          </cell>
          <cell r="P2">
            <v>99</v>
          </cell>
          <cell r="R2">
            <v>95</v>
          </cell>
        </row>
        <row r="3">
          <cell r="A3" t="str">
            <v>CARB123</v>
          </cell>
          <cell r="B3" t="str">
            <v>RawMatPlus</v>
          </cell>
          <cell r="C3">
            <v>62</v>
          </cell>
          <cell r="E3" t="str">
            <v>Medium</v>
          </cell>
          <cell r="H3">
            <v>4.41</v>
          </cell>
          <cell r="J3">
            <v>97</v>
          </cell>
          <cell r="P3">
            <v>84</v>
          </cell>
          <cell r="R3">
            <v>95</v>
          </cell>
        </row>
        <row r="4">
          <cell r="A4" t="str">
            <v>CARB123</v>
          </cell>
          <cell r="B4" t="str">
            <v>RawMatPlus</v>
          </cell>
          <cell r="C4">
            <v>10</v>
          </cell>
          <cell r="E4" t="str">
            <v>High</v>
          </cell>
          <cell r="H4">
            <v>2.56</v>
          </cell>
          <cell r="J4">
            <v>87</v>
          </cell>
          <cell r="P4">
            <v>98</v>
          </cell>
          <cell r="R4">
            <v>99</v>
          </cell>
        </row>
        <row r="5">
          <cell r="A5" t="str">
            <v>CARB123</v>
          </cell>
          <cell r="B5" t="str">
            <v>RawMatPlus</v>
          </cell>
          <cell r="C5">
            <v>12</v>
          </cell>
          <cell r="E5" t="str">
            <v>Low</v>
          </cell>
          <cell r="H5">
            <v>1.22</v>
          </cell>
          <cell r="J5">
            <v>91</v>
          </cell>
          <cell r="P5">
            <v>94</v>
          </cell>
          <cell r="R5">
            <v>94</v>
          </cell>
        </row>
        <row r="6">
          <cell r="A6" t="str">
            <v>CARB123</v>
          </cell>
          <cell r="B6" t="str">
            <v>RawMatPlus</v>
          </cell>
          <cell r="C6">
            <v>9</v>
          </cell>
          <cell r="E6" t="str">
            <v>High</v>
          </cell>
          <cell r="H6">
            <v>2.46</v>
          </cell>
          <cell r="J6">
            <v>85</v>
          </cell>
          <cell r="P6">
            <v>85</v>
          </cell>
          <cell r="R6">
            <v>91</v>
          </cell>
        </row>
        <row r="7">
          <cell r="A7" t="str">
            <v>COAT890</v>
          </cell>
          <cell r="B7" t="str">
            <v>GlobalChem</v>
          </cell>
          <cell r="C7">
            <v>60</v>
          </cell>
          <cell r="E7" t="str">
            <v>Low</v>
          </cell>
          <cell r="H7">
            <v>3.55</v>
          </cell>
          <cell r="J7">
            <v>93</v>
          </cell>
          <cell r="P7">
            <v>82</v>
          </cell>
          <cell r="R7">
            <v>93</v>
          </cell>
        </row>
        <row r="8">
          <cell r="A8" t="str">
            <v>COAT890</v>
          </cell>
          <cell r="B8" t="str">
            <v>GlobalChem</v>
          </cell>
          <cell r="C8">
            <v>15</v>
          </cell>
          <cell r="E8" t="str">
            <v>Medium</v>
          </cell>
          <cell r="H8">
            <v>0.95</v>
          </cell>
          <cell r="J8">
            <v>92</v>
          </cell>
          <cell r="P8">
            <v>91</v>
          </cell>
          <cell r="R8">
            <v>94</v>
          </cell>
        </row>
        <row r="9">
          <cell r="A9" t="str">
            <v>COAT890</v>
          </cell>
          <cell r="B9" t="str">
            <v>RawMatPlus</v>
          </cell>
          <cell r="C9">
            <v>8</v>
          </cell>
          <cell r="E9" t="str">
            <v>Medium</v>
          </cell>
          <cell r="H9">
            <v>3.6</v>
          </cell>
          <cell r="J9">
            <v>95</v>
          </cell>
          <cell r="P9">
            <v>81</v>
          </cell>
          <cell r="R9">
            <v>95</v>
          </cell>
        </row>
        <row r="10">
          <cell r="A10" t="str">
            <v>COAT890</v>
          </cell>
          <cell r="B10" t="str">
            <v>NextGen Pharma</v>
          </cell>
          <cell r="C10">
            <v>10</v>
          </cell>
          <cell r="E10" t="str">
            <v>Low</v>
          </cell>
          <cell r="H10">
            <v>3.2</v>
          </cell>
          <cell r="J10">
            <v>85</v>
          </cell>
          <cell r="P10">
            <v>81</v>
          </cell>
          <cell r="R10">
            <v>99</v>
          </cell>
        </row>
        <row r="11">
          <cell r="A11" t="str">
            <v>COAT890</v>
          </cell>
          <cell r="B11" t="str">
            <v>GlobalChem</v>
          </cell>
          <cell r="C11">
            <v>13</v>
          </cell>
          <cell r="E11" t="str">
            <v>Low</v>
          </cell>
          <cell r="H11">
            <v>4.76</v>
          </cell>
          <cell r="J11">
            <v>89</v>
          </cell>
          <cell r="P11">
            <v>86</v>
          </cell>
          <cell r="R11">
            <v>98</v>
          </cell>
        </row>
        <row r="12">
          <cell r="A12" t="str">
            <v>COMP010</v>
          </cell>
          <cell r="B12" t="str">
            <v>PrimeLogistics</v>
          </cell>
          <cell r="C12">
            <v>15</v>
          </cell>
          <cell r="E12" t="str">
            <v>Medium</v>
          </cell>
          <cell r="H12">
            <v>1.04</v>
          </cell>
          <cell r="J12">
            <v>86</v>
          </cell>
          <cell r="P12">
            <v>98</v>
          </cell>
          <cell r="R12">
            <v>90</v>
          </cell>
        </row>
        <row r="13">
          <cell r="A13" t="str">
            <v>COMP011</v>
          </cell>
          <cell r="B13" t="str">
            <v>NextGen Pharma</v>
          </cell>
          <cell r="C13">
            <v>6</v>
          </cell>
          <cell r="E13" t="str">
            <v>Low</v>
          </cell>
          <cell r="H13">
            <v>1.57</v>
          </cell>
          <cell r="J13">
            <v>92</v>
          </cell>
          <cell r="P13">
            <v>98</v>
          </cell>
          <cell r="R13">
            <v>97</v>
          </cell>
        </row>
        <row r="14">
          <cell r="A14" t="str">
            <v>COMP012</v>
          </cell>
          <cell r="B14" t="str">
            <v>PrimeLogistics</v>
          </cell>
          <cell r="C14">
            <v>8</v>
          </cell>
          <cell r="E14" t="str">
            <v>Low</v>
          </cell>
          <cell r="H14">
            <v>2.35</v>
          </cell>
          <cell r="J14">
            <v>96</v>
          </cell>
          <cell r="P14">
            <v>81</v>
          </cell>
          <cell r="R14">
            <v>95</v>
          </cell>
        </row>
        <row r="15">
          <cell r="A15" t="str">
            <v>COMP013</v>
          </cell>
          <cell r="B15" t="str">
            <v>NextGen Pharma</v>
          </cell>
          <cell r="C15">
            <v>13</v>
          </cell>
          <cell r="E15" t="str">
            <v>Low</v>
          </cell>
          <cell r="H15">
            <v>2.58</v>
          </cell>
          <cell r="J15">
            <v>99</v>
          </cell>
          <cell r="P15">
            <v>97</v>
          </cell>
          <cell r="R15">
            <v>90</v>
          </cell>
        </row>
        <row r="16">
          <cell r="A16" t="str">
            <v>COMP014</v>
          </cell>
          <cell r="B16" t="str">
            <v>NextGen Pharma</v>
          </cell>
          <cell r="C16">
            <v>11</v>
          </cell>
          <cell r="E16" t="str">
            <v>Medium</v>
          </cell>
          <cell r="H16">
            <v>1.24</v>
          </cell>
          <cell r="J16">
            <v>91</v>
          </cell>
          <cell r="P16">
            <v>97</v>
          </cell>
          <cell r="R16">
            <v>97</v>
          </cell>
        </row>
        <row r="17">
          <cell r="A17" t="str">
            <v>COMP015</v>
          </cell>
          <cell r="B17" t="str">
            <v>NextGen Pharma</v>
          </cell>
          <cell r="C17">
            <v>5</v>
          </cell>
          <cell r="E17" t="str">
            <v>High</v>
          </cell>
          <cell r="H17">
            <v>1.91</v>
          </cell>
          <cell r="J17">
            <v>94</v>
          </cell>
          <cell r="P17">
            <v>96</v>
          </cell>
          <cell r="R17">
            <v>92</v>
          </cell>
        </row>
        <row r="18">
          <cell r="A18" t="str">
            <v>COMP016</v>
          </cell>
          <cell r="B18" t="str">
            <v>NextGen Pharma</v>
          </cell>
          <cell r="C18">
            <v>11</v>
          </cell>
          <cell r="E18" t="str">
            <v>High</v>
          </cell>
          <cell r="H18">
            <v>0.68</v>
          </cell>
          <cell r="J18">
            <v>91</v>
          </cell>
          <cell r="P18">
            <v>88</v>
          </cell>
          <cell r="R18">
            <v>95</v>
          </cell>
        </row>
        <row r="19">
          <cell r="A19" t="str">
            <v>COMP017</v>
          </cell>
          <cell r="B19" t="str">
            <v>NextGen Pharma</v>
          </cell>
          <cell r="C19">
            <v>15</v>
          </cell>
          <cell r="E19" t="str">
            <v>Medium</v>
          </cell>
          <cell r="H19">
            <v>4.71</v>
          </cell>
          <cell r="J19">
            <v>92</v>
          </cell>
          <cell r="P19">
            <v>86</v>
          </cell>
          <cell r="R19">
            <v>94</v>
          </cell>
        </row>
        <row r="20">
          <cell r="A20" t="str">
            <v>COMP018</v>
          </cell>
          <cell r="B20" t="str">
            <v>GlobalChem</v>
          </cell>
          <cell r="C20">
            <v>8</v>
          </cell>
          <cell r="E20" t="str">
            <v>Medium</v>
          </cell>
          <cell r="H20">
            <v>2.94</v>
          </cell>
          <cell r="J20">
            <v>94</v>
          </cell>
          <cell r="P20">
            <v>97</v>
          </cell>
          <cell r="R20">
            <v>91</v>
          </cell>
        </row>
        <row r="21">
          <cell r="A21" t="str">
            <v>COMP019</v>
          </cell>
          <cell r="B21" t="str">
            <v>GlobalChem</v>
          </cell>
          <cell r="C21">
            <v>13</v>
          </cell>
          <cell r="E21" t="str">
            <v>Medium</v>
          </cell>
          <cell r="H21">
            <v>3.73</v>
          </cell>
          <cell r="J21">
            <v>95</v>
          </cell>
          <cell r="P21">
            <v>88</v>
          </cell>
          <cell r="R21">
            <v>90</v>
          </cell>
        </row>
        <row r="22">
          <cell r="A22" t="str">
            <v>COMP020</v>
          </cell>
          <cell r="B22" t="str">
            <v>EcoSupply</v>
          </cell>
          <cell r="C22">
            <v>5</v>
          </cell>
          <cell r="E22" t="str">
            <v>Medium</v>
          </cell>
          <cell r="H22">
            <v>1.23</v>
          </cell>
          <cell r="J22">
            <v>93</v>
          </cell>
          <cell r="P22">
            <v>82</v>
          </cell>
          <cell r="R22">
            <v>92</v>
          </cell>
        </row>
        <row r="23">
          <cell r="A23" t="str">
            <v>COMP021</v>
          </cell>
          <cell r="B23" t="str">
            <v>RawMatPlus</v>
          </cell>
          <cell r="C23">
            <v>13</v>
          </cell>
          <cell r="E23" t="str">
            <v>Medium</v>
          </cell>
          <cell r="H23">
            <v>2.14</v>
          </cell>
          <cell r="J23">
            <v>97</v>
          </cell>
          <cell r="P23">
            <v>87</v>
          </cell>
          <cell r="R23">
            <v>91</v>
          </cell>
        </row>
        <row r="24">
          <cell r="A24" t="str">
            <v>COMP022</v>
          </cell>
          <cell r="B24" t="str">
            <v>RawMatPlus</v>
          </cell>
          <cell r="C24">
            <v>7</v>
          </cell>
          <cell r="E24" t="str">
            <v>Low</v>
          </cell>
          <cell r="H24">
            <v>0.61</v>
          </cell>
          <cell r="J24">
            <v>99</v>
          </cell>
          <cell r="P24">
            <v>87</v>
          </cell>
          <cell r="R24">
            <v>92</v>
          </cell>
        </row>
        <row r="25">
          <cell r="A25" t="str">
            <v>COMP023</v>
          </cell>
          <cell r="B25" t="str">
            <v>PrimeLogistics</v>
          </cell>
          <cell r="C25">
            <v>8</v>
          </cell>
          <cell r="E25" t="str">
            <v>Medium</v>
          </cell>
          <cell r="H25">
            <v>4.08</v>
          </cell>
          <cell r="J25">
            <v>88</v>
          </cell>
          <cell r="P25">
            <v>88</v>
          </cell>
          <cell r="R25">
            <v>91</v>
          </cell>
        </row>
        <row r="26">
          <cell r="A26" t="str">
            <v>COMP024</v>
          </cell>
          <cell r="B26" t="str">
            <v>RawMatPlus</v>
          </cell>
          <cell r="C26">
            <v>10</v>
          </cell>
          <cell r="E26" t="str">
            <v>Low</v>
          </cell>
          <cell r="H26">
            <v>3.11</v>
          </cell>
          <cell r="J26">
            <v>85</v>
          </cell>
          <cell r="P26">
            <v>90</v>
          </cell>
          <cell r="R26">
            <v>99</v>
          </cell>
        </row>
        <row r="27">
          <cell r="A27" t="str">
            <v>COMP025</v>
          </cell>
          <cell r="B27" t="str">
            <v>RawMatPlus</v>
          </cell>
          <cell r="C27">
            <v>8</v>
          </cell>
          <cell r="E27" t="str">
            <v>Low</v>
          </cell>
          <cell r="H27">
            <v>4.67</v>
          </cell>
          <cell r="J27">
            <v>95</v>
          </cell>
          <cell r="P27">
            <v>93</v>
          </cell>
          <cell r="R27">
            <v>95</v>
          </cell>
        </row>
        <row r="28">
          <cell r="A28" t="str">
            <v>COMP026</v>
          </cell>
          <cell r="B28" t="str">
            <v>EcoSupply</v>
          </cell>
          <cell r="C28">
            <v>13</v>
          </cell>
          <cell r="E28" t="str">
            <v>High</v>
          </cell>
          <cell r="H28">
            <v>3.64</v>
          </cell>
          <cell r="J28">
            <v>87</v>
          </cell>
          <cell r="P28">
            <v>85</v>
          </cell>
          <cell r="R28">
            <v>99</v>
          </cell>
        </row>
        <row r="29">
          <cell r="A29" t="str">
            <v>COMP027</v>
          </cell>
          <cell r="B29" t="str">
            <v>EcoSupply</v>
          </cell>
          <cell r="C29">
            <v>9</v>
          </cell>
          <cell r="E29" t="str">
            <v>Medium</v>
          </cell>
          <cell r="H29">
            <v>1.95</v>
          </cell>
          <cell r="J29">
            <v>92</v>
          </cell>
          <cell r="P29">
            <v>85</v>
          </cell>
          <cell r="R29">
            <v>91</v>
          </cell>
        </row>
        <row r="30">
          <cell r="A30" t="str">
            <v>COMP028</v>
          </cell>
          <cell r="B30" t="str">
            <v>GlobalChem</v>
          </cell>
          <cell r="C30">
            <v>8</v>
          </cell>
          <cell r="E30" t="str">
            <v>Medium</v>
          </cell>
          <cell r="H30">
            <v>0.61</v>
          </cell>
          <cell r="J30">
            <v>92</v>
          </cell>
          <cell r="P30">
            <v>98</v>
          </cell>
          <cell r="R30">
            <v>96</v>
          </cell>
        </row>
        <row r="31">
          <cell r="A31" t="str">
            <v>COMP029</v>
          </cell>
          <cell r="B31" t="str">
            <v>NextGen Pharma</v>
          </cell>
          <cell r="C31">
            <v>15</v>
          </cell>
          <cell r="E31" t="str">
            <v>Low</v>
          </cell>
          <cell r="H31">
            <v>1.29</v>
          </cell>
          <cell r="J31">
            <v>96</v>
          </cell>
          <cell r="P31">
            <v>83</v>
          </cell>
          <cell r="R31">
            <v>92</v>
          </cell>
        </row>
        <row r="32">
          <cell r="A32" t="str">
            <v>COMP030</v>
          </cell>
          <cell r="B32" t="str">
            <v>PrimeLogistics</v>
          </cell>
          <cell r="C32">
            <v>14</v>
          </cell>
          <cell r="E32" t="str">
            <v>High</v>
          </cell>
          <cell r="H32">
            <v>4.58</v>
          </cell>
          <cell r="J32">
            <v>99</v>
          </cell>
          <cell r="P32">
            <v>87</v>
          </cell>
          <cell r="R32">
            <v>94</v>
          </cell>
        </row>
        <row r="33">
          <cell r="A33" t="str">
            <v>COMP031</v>
          </cell>
          <cell r="B33" t="str">
            <v>EcoSupply</v>
          </cell>
          <cell r="C33">
            <v>12</v>
          </cell>
          <cell r="E33" t="str">
            <v>High</v>
          </cell>
          <cell r="H33">
            <v>2.0099999999999998</v>
          </cell>
          <cell r="J33">
            <v>93</v>
          </cell>
          <cell r="P33">
            <v>84</v>
          </cell>
          <cell r="R33">
            <v>93</v>
          </cell>
        </row>
        <row r="34">
          <cell r="A34" t="str">
            <v>COMP032</v>
          </cell>
          <cell r="B34" t="str">
            <v>EcoSupply</v>
          </cell>
          <cell r="C34">
            <v>13</v>
          </cell>
          <cell r="E34" t="str">
            <v>Medium</v>
          </cell>
          <cell r="H34">
            <v>2.39</v>
          </cell>
          <cell r="J34">
            <v>97</v>
          </cell>
          <cell r="P34">
            <v>95</v>
          </cell>
          <cell r="R34">
            <v>95</v>
          </cell>
        </row>
        <row r="35">
          <cell r="A35" t="str">
            <v>COMP033</v>
          </cell>
          <cell r="B35" t="str">
            <v>PrimeLogistics</v>
          </cell>
          <cell r="C35">
            <v>13</v>
          </cell>
          <cell r="E35" t="str">
            <v>High</v>
          </cell>
          <cell r="H35">
            <v>2.7</v>
          </cell>
          <cell r="J35">
            <v>91</v>
          </cell>
          <cell r="P35">
            <v>92</v>
          </cell>
          <cell r="R35">
            <v>92</v>
          </cell>
        </row>
        <row r="36">
          <cell r="A36" t="str">
            <v>COMP034</v>
          </cell>
          <cell r="B36" t="str">
            <v>RawMatPlus</v>
          </cell>
          <cell r="C36">
            <v>13</v>
          </cell>
          <cell r="E36" t="str">
            <v>Medium</v>
          </cell>
          <cell r="H36">
            <v>0.62</v>
          </cell>
          <cell r="J36">
            <v>91</v>
          </cell>
          <cell r="P36">
            <v>88</v>
          </cell>
          <cell r="R36">
            <v>95</v>
          </cell>
        </row>
        <row r="37">
          <cell r="A37" t="str">
            <v>COMP035</v>
          </cell>
          <cell r="B37" t="str">
            <v>EcoSupply</v>
          </cell>
          <cell r="C37">
            <v>11</v>
          </cell>
          <cell r="E37" t="str">
            <v>Medium</v>
          </cell>
          <cell r="H37">
            <v>0.59</v>
          </cell>
          <cell r="J37">
            <v>85</v>
          </cell>
          <cell r="P37">
            <v>81</v>
          </cell>
          <cell r="R37">
            <v>90</v>
          </cell>
        </row>
        <row r="38">
          <cell r="A38" t="str">
            <v>COMP036</v>
          </cell>
          <cell r="B38" t="str">
            <v>RawMatPlus</v>
          </cell>
          <cell r="C38">
            <v>7</v>
          </cell>
          <cell r="E38" t="str">
            <v>Low</v>
          </cell>
          <cell r="H38">
            <v>3.04</v>
          </cell>
          <cell r="J38">
            <v>92</v>
          </cell>
          <cell r="P38">
            <v>99</v>
          </cell>
          <cell r="R38">
            <v>91</v>
          </cell>
        </row>
        <row r="39">
          <cell r="A39" t="str">
            <v>COMP037</v>
          </cell>
          <cell r="B39" t="str">
            <v>GlobalChem</v>
          </cell>
          <cell r="C39">
            <v>14</v>
          </cell>
          <cell r="E39" t="str">
            <v>Medium</v>
          </cell>
          <cell r="H39">
            <v>2.2799999999999998</v>
          </cell>
          <cell r="J39">
            <v>88</v>
          </cell>
          <cell r="P39">
            <v>89</v>
          </cell>
          <cell r="R39">
            <v>99</v>
          </cell>
        </row>
        <row r="40">
          <cell r="A40" t="str">
            <v>COMP038</v>
          </cell>
          <cell r="B40" t="str">
            <v>EcoSupply</v>
          </cell>
          <cell r="C40">
            <v>13</v>
          </cell>
          <cell r="E40" t="str">
            <v>High</v>
          </cell>
          <cell r="H40">
            <v>3.41</v>
          </cell>
          <cell r="J40">
            <v>98</v>
          </cell>
          <cell r="P40">
            <v>91</v>
          </cell>
          <cell r="R40">
            <v>97</v>
          </cell>
        </row>
        <row r="41">
          <cell r="A41" t="str">
            <v>COMP039</v>
          </cell>
          <cell r="B41" t="str">
            <v>RawMatPlus</v>
          </cell>
          <cell r="C41">
            <v>15</v>
          </cell>
          <cell r="E41" t="str">
            <v>High</v>
          </cell>
          <cell r="H41">
            <v>2.46</v>
          </cell>
          <cell r="J41">
            <v>94</v>
          </cell>
          <cell r="P41">
            <v>94</v>
          </cell>
          <cell r="R41">
            <v>97</v>
          </cell>
        </row>
        <row r="42">
          <cell r="A42" t="str">
            <v>COMP040</v>
          </cell>
          <cell r="B42" t="str">
            <v>EcoSupply</v>
          </cell>
          <cell r="C42">
            <v>5</v>
          </cell>
          <cell r="E42" t="str">
            <v>Medium</v>
          </cell>
          <cell r="H42">
            <v>2.1</v>
          </cell>
          <cell r="J42">
            <v>90</v>
          </cell>
          <cell r="P42">
            <v>88</v>
          </cell>
          <cell r="R42">
            <v>90</v>
          </cell>
        </row>
        <row r="43">
          <cell r="A43" t="str">
            <v>COMP041</v>
          </cell>
          <cell r="B43" t="str">
            <v>GlobalChem</v>
          </cell>
          <cell r="C43">
            <v>8</v>
          </cell>
          <cell r="E43" t="str">
            <v>Medium</v>
          </cell>
          <cell r="H43">
            <v>1.58</v>
          </cell>
          <cell r="J43">
            <v>95</v>
          </cell>
          <cell r="P43">
            <v>89</v>
          </cell>
          <cell r="R43">
            <v>96</v>
          </cell>
        </row>
        <row r="44">
          <cell r="A44" t="str">
            <v>COMP042</v>
          </cell>
          <cell r="B44" t="str">
            <v>PrimeLogistics</v>
          </cell>
          <cell r="C44">
            <v>13</v>
          </cell>
          <cell r="E44" t="str">
            <v>Medium</v>
          </cell>
          <cell r="H44">
            <v>1.99</v>
          </cell>
          <cell r="J44">
            <v>92</v>
          </cell>
          <cell r="P44">
            <v>86</v>
          </cell>
          <cell r="R44">
            <v>91</v>
          </cell>
        </row>
        <row r="45">
          <cell r="A45" t="str">
            <v>COMP043</v>
          </cell>
          <cell r="B45" t="str">
            <v>NextGen Pharma</v>
          </cell>
          <cell r="C45">
            <v>8</v>
          </cell>
          <cell r="E45" t="str">
            <v>Medium</v>
          </cell>
          <cell r="H45">
            <v>4.8899999999999997</v>
          </cell>
          <cell r="J45">
            <v>94</v>
          </cell>
          <cell r="P45">
            <v>91</v>
          </cell>
          <cell r="R45">
            <v>94</v>
          </cell>
        </row>
        <row r="46">
          <cell r="A46" t="str">
            <v>COMP044</v>
          </cell>
          <cell r="B46" t="str">
            <v>EcoSupply</v>
          </cell>
          <cell r="C46">
            <v>5</v>
          </cell>
          <cell r="E46" t="str">
            <v>Low</v>
          </cell>
          <cell r="H46">
            <v>4.75</v>
          </cell>
          <cell r="J46">
            <v>98</v>
          </cell>
          <cell r="P46">
            <v>89</v>
          </cell>
          <cell r="R46">
            <v>97</v>
          </cell>
        </row>
        <row r="47">
          <cell r="A47" t="str">
            <v>COMP045</v>
          </cell>
          <cell r="B47" t="str">
            <v>GlobalChem</v>
          </cell>
          <cell r="C47">
            <v>9</v>
          </cell>
          <cell r="E47" t="str">
            <v>Medium</v>
          </cell>
          <cell r="H47">
            <v>2.71</v>
          </cell>
          <cell r="J47">
            <v>95</v>
          </cell>
          <cell r="P47">
            <v>98</v>
          </cell>
          <cell r="R47">
            <v>94</v>
          </cell>
        </row>
        <row r="48">
          <cell r="A48" t="str">
            <v>COMP046</v>
          </cell>
          <cell r="B48" t="str">
            <v>RawMatPlus</v>
          </cell>
          <cell r="C48">
            <v>11</v>
          </cell>
          <cell r="E48" t="str">
            <v>High</v>
          </cell>
          <cell r="H48">
            <v>2.85</v>
          </cell>
          <cell r="J48">
            <v>99</v>
          </cell>
          <cell r="P48">
            <v>98</v>
          </cell>
          <cell r="R48">
            <v>90</v>
          </cell>
        </row>
        <row r="49">
          <cell r="A49" t="str">
            <v>COMP047</v>
          </cell>
          <cell r="B49" t="str">
            <v>NextGen Pharma</v>
          </cell>
          <cell r="C49">
            <v>15</v>
          </cell>
          <cell r="E49" t="str">
            <v>Medium</v>
          </cell>
          <cell r="H49">
            <v>1.28</v>
          </cell>
          <cell r="J49">
            <v>87</v>
          </cell>
          <cell r="P49">
            <v>95</v>
          </cell>
          <cell r="R49">
            <v>90</v>
          </cell>
        </row>
        <row r="50">
          <cell r="A50" t="str">
            <v>COMP048</v>
          </cell>
          <cell r="B50" t="str">
            <v>PrimeLogistics</v>
          </cell>
          <cell r="C50">
            <v>6</v>
          </cell>
          <cell r="E50" t="str">
            <v>Low</v>
          </cell>
          <cell r="H50">
            <v>3.48</v>
          </cell>
          <cell r="J50">
            <v>88</v>
          </cell>
          <cell r="P50">
            <v>84</v>
          </cell>
          <cell r="R50">
            <v>94</v>
          </cell>
        </row>
        <row r="51">
          <cell r="A51" t="str">
            <v>COMP049</v>
          </cell>
          <cell r="B51" t="str">
            <v>NextGen Pharma</v>
          </cell>
          <cell r="C51">
            <v>9</v>
          </cell>
          <cell r="E51" t="str">
            <v>High</v>
          </cell>
          <cell r="H51">
            <v>1.06</v>
          </cell>
          <cell r="J51">
            <v>89</v>
          </cell>
          <cell r="P51">
            <v>95</v>
          </cell>
          <cell r="R51">
            <v>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1E7F-1A40-4C20-A894-137090AC387F}">
  <dimension ref="A1:I30"/>
  <sheetViews>
    <sheetView tabSelected="1" workbookViewId="0">
      <selection activeCell="B25" sqref="B25"/>
    </sheetView>
  </sheetViews>
  <sheetFormatPr defaultColWidth="8.85546875" defaultRowHeight="15" x14ac:dyDescent="0.25"/>
  <cols>
    <col min="1" max="1" width="25.85546875" bestFit="1" customWidth="1"/>
    <col min="2" max="2" width="28.7109375" bestFit="1" customWidth="1"/>
    <col min="3" max="3" width="24.140625" bestFit="1" customWidth="1"/>
    <col min="4" max="4" width="27" bestFit="1" customWidth="1"/>
    <col min="5" max="5" width="18.7109375" bestFit="1" customWidth="1"/>
    <col min="6" max="6" width="27" style="15" bestFit="1" customWidth="1"/>
    <col min="7" max="7" width="23.7109375" style="15" bestFit="1" customWidth="1"/>
    <col min="8" max="9" width="20.140625" style="15" customWidth="1"/>
    <col min="10" max="11" width="20.140625" customWidth="1"/>
  </cols>
  <sheetData>
    <row r="1" spans="1:9" ht="18.75" x14ac:dyDescent="0.3">
      <c r="A1" s="1" t="s">
        <v>0</v>
      </c>
      <c r="B1" s="1"/>
      <c r="C1" s="1"/>
      <c r="F1"/>
      <c r="G1"/>
      <c r="H1"/>
      <c r="I1"/>
    </row>
    <row r="2" spans="1:9" x14ac:dyDescent="0.25">
      <c r="A2" s="2" t="s">
        <v>1</v>
      </c>
      <c r="B2" s="2" t="s">
        <v>2</v>
      </c>
      <c r="C2" s="2" t="s">
        <v>3</v>
      </c>
      <c r="F2"/>
      <c r="G2"/>
      <c r="H2"/>
      <c r="I2"/>
    </row>
    <row r="3" spans="1:9" x14ac:dyDescent="0.25">
      <c r="A3" s="3" t="s">
        <v>4</v>
      </c>
      <c r="B3" s="4">
        <f>AVERAGEIF([1]Dataset!E:E,A3,[1]Dataset!C:C)</f>
        <v>11.25</v>
      </c>
      <c r="C3" s="3">
        <f>COUNTIF([1]Dataset!E:E,A3)</f>
        <v>12</v>
      </c>
      <c r="F3"/>
      <c r="G3"/>
      <c r="H3"/>
      <c r="I3"/>
    </row>
    <row r="4" spans="1:9" x14ac:dyDescent="0.25">
      <c r="A4" s="3" t="s">
        <v>5</v>
      </c>
      <c r="B4" s="4">
        <f>AVERAGEIF([1]Dataset!E:E,A4,[1]Dataset!C:C)</f>
        <v>15.125</v>
      </c>
      <c r="C4" s="3">
        <f>COUNTIF([1]Dataset!E:E,A4)</f>
        <v>24</v>
      </c>
      <c r="F4"/>
      <c r="G4"/>
      <c r="H4"/>
      <c r="I4"/>
    </row>
    <row r="5" spans="1:9" x14ac:dyDescent="0.25">
      <c r="A5" s="3" t="s">
        <v>6</v>
      </c>
      <c r="B5" s="4">
        <f>AVERAGEIF([1]Dataset!E:E,A5,[1]Dataset!C:C)</f>
        <v>12.857142857142858</v>
      </c>
      <c r="C5" s="3">
        <f>COUNTIF([1]Dataset!E:E,A5)</f>
        <v>14</v>
      </c>
      <c r="F5"/>
      <c r="G5"/>
      <c r="H5"/>
      <c r="I5"/>
    </row>
    <row r="6" spans="1:9" x14ac:dyDescent="0.25">
      <c r="F6"/>
      <c r="G6"/>
      <c r="H6"/>
      <c r="I6"/>
    </row>
    <row r="7" spans="1:9" ht="18.75" x14ac:dyDescent="0.3">
      <c r="A7" s="1" t="s">
        <v>7</v>
      </c>
      <c r="B7" s="1"/>
      <c r="C7" s="1"/>
      <c r="D7" s="1"/>
      <c r="F7"/>
      <c r="G7"/>
      <c r="H7"/>
      <c r="I7"/>
    </row>
    <row r="8" spans="1:9" x14ac:dyDescent="0.25">
      <c r="A8" s="2" t="s">
        <v>8</v>
      </c>
      <c r="B8" s="2" t="s">
        <v>9</v>
      </c>
      <c r="C8" s="2" t="s">
        <v>10</v>
      </c>
      <c r="D8" s="2" t="s">
        <v>2</v>
      </c>
      <c r="F8"/>
      <c r="G8"/>
      <c r="H8"/>
      <c r="I8"/>
    </row>
    <row r="9" spans="1:9" x14ac:dyDescent="0.25">
      <c r="A9" s="3" t="s">
        <v>11</v>
      </c>
      <c r="B9" s="4">
        <f>AVERAGEIF([1]Dataset!A:A,A9,[1]Dataset!P:P)</f>
        <v>90.25</v>
      </c>
      <c r="C9" s="3">
        <f>COUNTIF([1]Dataset!A:A,A9)</f>
        <v>4</v>
      </c>
      <c r="D9" s="4">
        <f>AVERAGEIF([1]Dataset!A:A,A9,[1]Dataset!C:C)</f>
        <v>23.25</v>
      </c>
      <c r="F9"/>
      <c r="G9"/>
      <c r="H9"/>
      <c r="I9"/>
    </row>
    <row r="10" spans="1:9" x14ac:dyDescent="0.25">
      <c r="A10" s="3" t="s">
        <v>12</v>
      </c>
      <c r="B10" s="4">
        <f>AVERAGEIF([1]Dataset!A:A,A10,[1]Dataset!P:P)</f>
        <v>99</v>
      </c>
      <c r="C10" s="3">
        <f>COUNTIF([1]Dataset!A:A,A10)</f>
        <v>1</v>
      </c>
      <c r="D10" s="4">
        <f>AVERAGEIF([1]Dataset!A:A,A10,[1]Dataset!C:C)</f>
        <v>64</v>
      </c>
      <c r="F10"/>
      <c r="G10"/>
      <c r="H10"/>
      <c r="I10"/>
    </row>
    <row r="11" spans="1:9" x14ac:dyDescent="0.25">
      <c r="A11" s="3" t="s">
        <v>13</v>
      </c>
      <c r="B11" s="4">
        <f>AVERAGEIF([1]Dataset!A:A,A11,[1]Dataset!P:P)</f>
        <v>84.2</v>
      </c>
      <c r="C11" s="3">
        <f>COUNTIF([1]Dataset!A:A,A11)</f>
        <v>5</v>
      </c>
      <c r="D11" s="4">
        <f>AVERAGEIF([1]Dataset!A:A,A11,[1]Dataset!C:C)</f>
        <v>21.2</v>
      </c>
      <c r="F11"/>
      <c r="G11"/>
      <c r="H11"/>
      <c r="I11"/>
    </row>
    <row r="12" spans="1:9" x14ac:dyDescent="0.25">
      <c r="A12" s="5" t="s">
        <v>14</v>
      </c>
      <c r="B12" s="4">
        <f>AVERAGE(B9:B11)</f>
        <v>91.149999999999991</v>
      </c>
      <c r="C12" s="3">
        <f>COUNTIF([1]Dataset!A:A,"CARB123")+COUNTIF([1]Dataset!A:A,"BIND567")+COUNTIF([1]Dataset!A:A,"COAT890")</f>
        <v>10</v>
      </c>
      <c r="D12" s="4">
        <f>AVERAGE(D9:D11)</f>
        <v>36.15</v>
      </c>
      <c r="F12"/>
      <c r="G12"/>
      <c r="H12"/>
      <c r="I12"/>
    </row>
    <row r="13" spans="1:9" x14ac:dyDescent="0.25">
      <c r="F13"/>
      <c r="G13"/>
      <c r="H13"/>
      <c r="I13"/>
    </row>
    <row r="14" spans="1:9" ht="18.75" x14ac:dyDescent="0.3">
      <c r="A14" s="1" t="s">
        <v>15</v>
      </c>
      <c r="B14" s="1"/>
      <c r="C14" s="1"/>
      <c r="D14" s="1"/>
      <c r="E14" s="1"/>
      <c r="F14" s="1"/>
      <c r="G14" s="1"/>
      <c r="H14"/>
      <c r="I14"/>
    </row>
    <row r="15" spans="1:9" x14ac:dyDescent="0.25">
      <c r="A15" s="2" t="s">
        <v>16</v>
      </c>
      <c r="B15" s="2" t="s">
        <v>10</v>
      </c>
      <c r="C15" s="2" t="s">
        <v>17</v>
      </c>
      <c r="D15" s="2" t="s">
        <v>18</v>
      </c>
      <c r="E15" s="2" t="s">
        <v>19</v>
      </c>
      <c r="F15" s="2" t="s">
        <v>2</v>
      </c>
      <c r="G15" s="2" t="s">
        <v>20</v>
      </c>
      <c r="H15"/>
      <c r="I15"/>
    </row>
    <row r="16" spans="1:9" x14ac:dyDescent="0.25">
      <c r="A16" s="3" t="s">
        <v>21</v>
      </c>
      <c r="B16" s="3">
        <f>COUNTIF([1]Dataset!B:B,A16)</f>
        <v>10</v>
      </c>
      <c r="C16" s="4">
        <f>AVERAGEIF([1]Dataset!B:B,A16,[1]Dataset!P:P)</f>
        <v>87.9</v>
      </c>
      <c r="D16" s="4">
        <f>AVERAGEIF([1]Dataset!B:B,A16,[1]Dataset!J:J)</f>
        <v>93.2</v>
      </c>
      <c r="E16" s="6">
        <f>AVERAGEIF([1]Dataset!B:B,A16,[1]Dataset!H:H)</f>
        <v>2.4980000000000002</v>
      </c>
      <c r="F16" s="4">
        <f>AVERAGEIF([1]Dataset!B:B,A16,[1]Dataset!C:C)</f>
        <v>15</v>
      </c>
      <c r="G16" s="4">
        <f>AVERAGEIF([1]Dataset!B:B,A16,[1]Dataset!R:R)</f>
        <v>93.9</v>
      </c>
      <c r="H16"/>
      <c r="I16"/>
    </row>
    <row r="17" spans="1:9" x14ac:dyDescent="0.25">
      <c r="A17" s="3" t="s">
        <v>22</v>
      </c>
      <c r="B17" s="3">
        <f>COUNTIF([1]Dataset!B:B,A17)</f>
        <v>9</v>
      </c>
      <c r="C17" s="4">
        <f>AVERAGEIF([1]Dataset!B:B,A17,[1]Dataset!P:P)</f>
        <v>90.888888888888886</v>
      </c>
      <c r="D17" s="4">
        <f>AVERAGEIF([1]Dataset!B:B,A17,[1]Dataset!J:J)</f>
        <v>92.555555555555557</v>
      </c>
      <c r="E17" s="6">
        <f>AVERAGEIF([1]Dataset!B:B,A17,[1]Dataset!H:H)</f>
        <v>2.5677777777777777</v>
      </c>
      <c r="F17" s="4">
        <f>AVERAGEIF([1]Dataset!B:B,A17,[1]Dataset!C:C)</f>
        <v>16.444444444444443</v>
      </c>
      <c r="G17" s="4">
        <f>AVERAGEIF([1]Dataset!B:B,A17,[1]Dataset!R:R)</f>
        <v>94.555555555555557</v>
      </c>
      <c r="H17"/>
      <c r="I17"/>
    </row>
    <row r="18" spans="1:9" x14ac:dyDescent="0.25">
      <c r="A18" s="3" t="s">
        <v>23</v>
      </c>
      <c r="B18" s="3">
        <f>COUNTIF([1]Dataset!B:B,A18)</f>
        <v>11</v>
      </c>
      <c r="C18" s="4">
        <f>AVERAGEIF([1]Dataset!B:B,A18,[1]Dataset!P:P)</f>
        <v>91.545454545454547</v>
      </c>
      <c r="D18" s="4">
        <f>AVERAGEIF([1]Dataset!B:B,A18,[1]Dataset!J:J)</f>
        <v>91.818181818181813</v>
      </c>
      <c r="E18" s="6">
        <f>AVERAGEIF([1]Dataset!B:B,A18,[1]Dataset!H:H)</f>
        <v>2.2190909090909092</v>
      </c>
      <c r="F18" s="4">
        <f>AVERAGEIF([1]Dataset!B:B,A18,[1]Dataset!C:C)</f>
        <v>10.727272727272727</v>
      </c>
      <c r="G18" s="4">
        <f>AVERAGEIF([1]Dataset!B:B,A18,[1]Dataset!R:R)</f>
        <v>93.727272727272734</v>
      </c>
      <c r="H18"/>
      <c r="I18"/>
    </row>
    <row r="19" spans="1:9" x14ac:dyDescent="0.25">
      <c r="A19" s="3" t="s">
        <v>24</v>
      </c>
      <c r="B19" s="3">
        <f>COUNTIF([1]Dataset!B:B,A19)</f>
        <v>7</v>
      </c>
      <c r="C19" s="4">
        <f>AVERAGEIF([1]Dataset!B:B,A19,[1]Dataset!P:P)</f>
        <v>88</v>
      </c>
      <c r="D19" s="4">
        <f>AVERAGEIF([1]Dataset!B:B,A19,[1]Dataset!J:J)</f>
        <v>91.428571428571431</v>
      </c>
      <c r="E19" s="6">
        <f>AVERAGEIF([1]Dataset!B:B,A19,[1]Dataset!H:H)</f>
        <v>2.8885714285714283</v>
      </c>
      <c r="F19" s="4">
        <f>AVERAGEIF([1]Dataset!B:B,A19,[1]Dataset!C:C)</f>
        <v>11</v>
      </c>
      <c r="G19" s="4">
        <f>AVERAGEIF([1]Dataset!B:B,A19,[1]Dataset!R:R)</f>
        <v>92.428571428571431</v>
      </c>
      <c r="H19"/>
      <c r="I19"/>
    </row>
    <row r="20" spans="1:9" x14ac:dyDescent="0.25">
      <c r="A20" s="7" t="s">
        <v>25</v>
      </c>
      <c r="B20" s="7">
        <f>COUNTIF([1]Dataset!B:B,A20)</f>
        <v>13</v>
      </c>
      <c r="C20" s="8">
        <f>AVERAGEIF([1]Dataset!B:B,A20,[1]Dataset!P:P)</f>
        <v>90.615384615384613</v>
      </c>
      <c r="D20" s="8">
        <f>AVERAGEIF([1]Dataset!B:B,A20,[1]Dataset!J:J)</f>
        <v>92.84615384615384</v>
      </c>
      <c r="E20" s="9">
        <f>AVERAGEIF([1]Dataset!B:B,A20,[1]Dataset!H:H)</f>
        <v>2.5961538461538463</v>
      </c>
      <c r="F20" s="8">
        <f>AVERAGEIF([1]Dataset!B:B,A20,[1]Dataset!C:C)</f>
        <v>14.23076923076923</v>
      </c>
      <c r="G20" s="8">
        <f>AVERAGEIF([1]Dataset!B:B,A20,[1]Dataset!R:R)</f>
        <v>94.15384615384616</v>
      </c>
      <c r="H20"/>
      <c r="I20"/>
    </row>
    <row r="21" spans="1:9" x14ac:dyDescent="0.25">
      <c r="A21" s="10" t="s">
        <v>26</v>
      </c>
      <c r="B21" s="11">
        <f>SUM(B16:B20)</f>
        <v>50</v>
      </c>
      <c r="C21" s="12">
        <f>AVERAGE(C16:C20)</f>
        <v>89.789945609945605</v>
      </c>
      <c r="D21" s="12">
        <f>AVERAGE(D16:D20)</f>
        <v>92.369692529692514</v>
      </c>
      <c r="E21" s="13">
        <f>AVERAGE(E16:E20)</f>
        <v>2.5539187923187923</v>
      </c>
      <c r="F21" s="12">
        <f>AVERAGE(F16:F20)</f>
        <v>13.48049728049728</v>
      </c>
      <c r="G21" s="14">
        <f>AVERAGE(G16:G20)</f>
        <v>93.753049173049178</v>
      </c>
      <c r="H21"/>
      <c r="I21"/>
    </row>
    <row r="22" spans="1:9" x14ac:dyDescent="0.25">
      <c r="F22"/>
      <c r="G22"/>
      <c r="H22"/>
      <c r="I22"/>
    </row>
    <row r="23" spans="1:9" x14ac:dyDescent="0.25">
      <c r="F23"/>
      <c r="G23"/>
      <c r="H23"/>
      <c r="I23"/>
    </row>
    <row r="24" spans="1:9" x14ac:dyDescent="0.25">
      <c r="F24"/>
      <c r="G24"/>
      <c r="H24"/>
      <c r="I24"/>
    </row>
    <row r="25" spans="1:9" x14ac:dyDescent="0.25">
      <c r="F25"/>
      <c r="G25"/>
      <c r="H25"/>
      <c r="I25"/>
    </row>
    <row r="26" spans="1:9" x14ac:dyDescent="0.25">
      <c r="F26"/>
      <c r="G26"/>
      <c r="H26"/>
      <c r="I26"/>
    </row>
    <row r="27" spans="1:9" x14ac:dyDescent="0.25">
      <c r="F27"/>
      <c r="G27"/>
      <c r="H27"/>
      <c r="I27"/>
    </row>
    <row r="28" spans="1:9" x14ac:dyDescent="0.25">
      <c r="F28"/>
      <c r="G28"/>
      <c r="H28"/>
      <c r="I28"/>
    </row>
    <row r="29" spans="1:9" x14ac:dyDescent="0.25">
      <c r="F29"/>
      <c r="G29"/>
      <c r="H29"/>
      <c r="I29"/>
    </row>
    <row r="30" spans="1:9" x14ac:dyDescent="0.25">
      <c r="F30"/>
      <c r="G30"/>
      <c r="H30"/>
      <c r="I30"/>
    </row>
  </sheetData>
  <mergeCells count="3">
    <mergeCell ref="A1:C1"/>
    <mergeCell ref="A7:D7"/>
    <mergeCell ref="A14:G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Abouganba, Aisha [JJCUS]</dc:creator>
  <cp:lastModifiedBy>Abouganba, Aisha [JJCUS]</cp:lastModifiedBy>
  <dcterms:created xsi:type="dcterms:W3CDTF">2026-07-08T15:20:24Z</dcterms:created>
  <dcterms:modified xsi:type="dcterms:W3CDTF">2026-07-08T15:22:15Z</dcterms:modified>
</cp:coreProperties>
</file>